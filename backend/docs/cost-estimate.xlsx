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48ca82350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46440a4b7b4f44"/>
    <x:sheet xmlns:r="http://schemas.openxmlformats.org/officeDocument/2006/relationships" name="Assumptions" sheetId="2" r:id="R24fc1bbf557c4803"/>
    <x:sheet xmlns:r="http://schemas.openxmlformats.org/officeDocument/2006/relationships" name="Cost_Model" sheetId="3" r:id="R108e1ab3ebb94d60"/>
    <x:sheet xmlns:r="http://schemas.openxmlformats.org/officeDocument/2006/relationships" name="Sources" sheetId="4" r:id="R61f99b7898ef4720"/>
  </x:sheets>
</x:workbook>
</file>

<file path=xl/comments1.xml><?xml version="1.0" encoding="utf-8"?>
<x:comments xmlns:x="http://schemas.openxmlformats.org/spreadsheetml/2006/main">
  <x:authors>
    <x:author>tc={13D4E1C4-9BF1-40F5-BC24-F700B36BCDD1}</x:author>
    <x:author>tc={C9F61D99-D7BE-4FCF-8C23-90CE5930C4F5}</x:author>
    <x:author>tc={4B655A78-8F98-4E7C-92B0-E2442FE52B55}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Investing.com USD/KRW. 필요 시 현재 환율로 수정하세요.</x:t>
        </x:r>
      </x:text>
    </x:comment>
    <x:comment ref="C2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Toss Payments fee. 사업자 등급/계약 방식에 따라 실제 수수료율이 달라질 수 있습니다.</x:t>
        </x:r>
      </x:text>
    </x:comment>
    <x:comment ref="C2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무료 쿼터 안에서 사용하면 지도 비용은 0원으로 보수적으로 반영했습니다.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0.0%"/>
    <x:numFmt numFmtId="203" formatCode="$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74151"/>
      <x:name val="Carlito"/>
    </x:font>
    <x:font>
      <x:b/>
      <x:sz val="11"/>
      <x:color rgb="FF111827"/>
      <x:name val="Carlito"/>
    </x:font>
    <x:font>
      <x:b/>
      <x:sz val="13"/>
      <x:color rgb="FF2563EB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EAF7F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f1dfc9198421e" /><Relationship Type="http://schemas.openxmlformats.org/officeDocument/2006/relationships/theme" Target="/xl/theme/theme1.xml" Id="R3b7401cb45ee49c5" /><Relationship Type="http://schemas.openxmlformats.org/officeDocument/2006/relationships/sharedStrings" Target="/xl/sharedStrings.xml" Id="R80555d7f64f146f5" /><Relationship Type="http://schemas.openxmlformats.org/officeDocument/2006/relationships/worksheet" Target="/xl/worksheets/sheet1.xml" Id="R4246440a4b7b4f44" /><Relationship Type="http://schemas.openxmlformats.org/officeDocument/2006/relationships/worksheet" Target="/xl/worksheets/sheet2.xml" Id="R24fc1bbf557c4803" /><Relationship Type="http://schemas.openxmlformats.org/officeDocument/2006/relationships/worksheet" Target="/xl/worksheets/sheet3.xml" Id="R108e1ab3ebb94d60" /><Relationship Type="http://schemas.openxmlformats.org/officeDocument/2006/relationships/worksheet" Target="/xl/worksheets/sheet4.xml" Id="R61f99b7898ef4720" /><Relationship Type="http://schemas.microsoft.com/office/2017/10/relationships/person" Target="/xl/persons/person.xml" Id="R3caa375b1bc142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d8fe2791954d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 운영비 비교 (KRW)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고정성 비용</c:v>
          </c:tx>
          <c:cat>
            <c:strRef>
              <c:f>'Summary'!$J$5:$J$7</c:f>
              <c:strCache>
                <c:ptCount val="0"/>
              </c:strCache>
            </c:strRef>
          </c:cat>
          <c:val>
            <c:numRef>
              <c:f>'Summary'!$K$5:$K$7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결제 수수료</c:v>
          </c:tx>
          <c:cat>
            <c:strRef>
              <c:f>'Summary'!$J$5:$J$7</c:f>
              <c:strCache>
                <c:ptCount val="0"/>
              </c:strCache>
            </c:strRef>
          </c:cat>
          <c:val>
            <c:numRef>
              <c:f>'Summary'!$L$5:$L$7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월 총 운영비</c:v>
          </c:tx>
          <c:cat>
            <c:strRef>
              <c:f>'Summary'!$J$5:$J$7</c:f>
              <c:strCache>
                <c:ptCount val="0"/>
              </c:strCache>
            </c:strRef>
          </c:cat>
          <c:val>
            <c:numRef>
              <c:f>'Summary'!$M$5:$M$7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d8fe2791954da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7939957D-A745-47B5-8DBE-0CB9A55B4F4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08-31T03:22:57.944" personId="{7939957D-A745-47B5-8DBE-0CB9A55B4F44}" id="{13D4E1C4-9BF1-40F5-BC24-F700B36BCDD1}">
    <xltc:text>Source: Investing.com USD/KRW. 필요 시 현재 환율로 수정하세요.</xltc:text>
  </xltc:threadedComment>
  <xltc:threadedComment ref="C20" dT="2026-08-31T03:22:57.944" personId="{7939957D-A745-47B5-8DBE-0CB9A55B4F44}" id="{C9F61D99-D7BE-4FCF-8C23-90CE5930C4F5}">
    <xltc:text>Source: Toss Payments fee. 사업자 등급/계약 방식에 따라 실제 수수료율이 달라질 수 있습니다.</xltc:text>
  </xltc:threadedComment>
  <xltc:threadedComment ref="C28" dT="2026-08-31T03:22:57.944" personId="{7939957D-A745-47B5-8DBE-0CB9A55B4F44}" id="{4B655A78-8F98-4E7C-92B0-E2442FE52B55}">
    <xltc:text>무료 쿼터 안에서 사용하면 지도 비용은 0원으로 보수적으로 반영했습니다.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7b8d2e6b8d4d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e55319dac0c4007" /><Relationship Type="http://schemas.openxmlformats.org/officeDocument/2006/relationships/vmlDrawing" Target="/xl/drawings/vmldrawing.vml" Id="Rc2a7f75f45d3451f" /><Relationship Type="http://schemas.microsoft.com/office/2017/10/relationships/threadedComment" Target="/xl/threadedcomments/threadedcomment.xml" Id="R04161b660bf540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1.600000381469727" hidden="0" customHeight="1">
      <x:c r="A1" s="4" t="str">
        <x:v>샐러드 앱 비용계산서</x:v>
      </x:c>
      <x:c r="B1" s="4" t="str">
        <x:v>샐러드 앱 비용계산서</x:v>
      </x:c>
      <x:c r="C1" s="4" t="str">
        <x:v>샐러드 앱 비용계산서</x:v>
      </x:c>
      <x:c r="D1" s="4" t="str">
        <x:v>샐러드 앱 비용계산서</x:v>
      </x:c>
      <x:c r="E1" s="4" t="str">
        <x:v>샐러드 앱 비용계산서</x:v>
      </x:c>
      <x:c r="F1" s="4" t="str">
        <x:v>샐러드 앱 비용계산서</x:v>
      </x:c>
      <x:c r="G1" s="4" t="str">
        <x:v>샐러드 앱 비용계산서</x:v>
      </x:c>
      <x:c r="H1" s="4" t="str">
        <x:v>샐러드 앱 비용계산서</x:v>
      </x:c>
    </x:row>
    <x:row r="2" ht="15" hidden="0" customHeight="1">
      <x:c r="A2" s="8" t="str">
        <x:v>React Native + Spring Boot + PostgreSQL 기준 MVP 운영 비용 추정</x:v>
      </x:c>
      <x:c r="B2" s="8" t="str">
        <x:v>React Native + Spring Boot + PostgreSQL 기준 MVP 운영 비용 추정</x:v>
      </x:c>
      <x:c r="C2" s="8" t="str">
        <x:v>React Native + Spring Boot + PostgreSQL 기준 MVP 운영 비용 추정</x:v>
      </x:c>
      <x:c r="D2" s="8" t="str">
        <x:v>React Native + Spring Boot + PostgreSQL 기준 MVP 운영 비용 추정</x:v>
      </x:c>
      <x:c r="E2" s="8" t="str">
        <x:v>React Native + Spring Boot + PostgreSQL 기준 MVP 운영 비용 추정</x:v>
      </x:c>
      <x:c r="F2" s="8" t="str">
        <x:v>React Native + Spring Boot + PostgreSQL 기준 MVP 운영 비용 추정</x:v>
      </x:c>
      <x:c r="G2" s="8" t="str">
        <x:v>React Native + Spring Boot + PostgreSQL 기준 MVP 운영 비용 추정</x:v>
      </x:c>
      <x:c r="H2" s="8" t="str">
        <x:v>React Native + Spring Boot + PostgreSQL 기준 MVP 운영 비용 추정</x:v>
      </x:c>
    </x:row>
    <x:row r="3"/>
    <x:row r="4" ht="15" hidden="0" customHeight="1">
      <x:c r="A4" s="14" t="str">
        <x:v>기준 시나리오</x:v>
      </x:c>
      <x:c r="B4" s="14" t="str">
        <x:v>월 주문 수</x:v>
      </x:c>
      <x:c r="C4" s="14" t="str">
        <x:v>월 매출</x:v>
      </x:c>
      <x:c r="D4" s="14" t="str">
        <x:v>월 총 운영비</x:v>
      </x:c>
      <x:c r="J4" s="14" t="str">
        <x:v>시나리오</x:v>
      </x:c>
      <x:c r="K4" s="14" t="str">
        <x:v>고정성 비용</x:v>
      </x:c>
      <x:c r="L4" s="14" t="str">
        <x:v>결제 수수료</x:v>
      </x:c>
      <x:c r="M4" s="14" t="str">
        <x:v>월 총 운영비</x:v>
      </x:c>
    </x:row>
    <x:row r="5" ht="15" hidden="0" customHeight="1">
      <x:c r="A5" s="11" t="str">
        <x:f>'Cost_Model'!A5</x:f>
        <x:v>저비용 MVP</x:v>
      </x:c>
      <x:c r="B5" s="19" t="n">
        <x:f>'Cost_Model'!B5</x:f>
        <x:v>300</x:v>
      </x:c>
      <x:c r="C5" s="19" t="n">
        <x:f>'Cost_Model'!C5</x:f>
        <x:v>3600000</x:v>
      </x:c>
      <x:c r="D5" s="19" t="n">
        <x:f>'Cost_Model'!J5</x:f>
        <x:v>175118.95333333337</x:v>
      </x:c>
      <x:c r="J5" s="11" t="str">
        <x:f>A5</x:f>
        <x:v>저비용 MVP</x:v>
      </x:c>
      <x:c r="K5" s="19" t="n">
        <x:f>B12</x:f>
        <x:v>40478.95333333333</x:v>
      </x:c>
      <x:c r="L5" s="19" t="n">
        <x:f>B13</x:f>
        <x:v>134640.00000000003</x:v>
      </x:c>
      <x:c r="M5" s="19" t="n">
        <x:f>D5</x:f>
        <x:v>175118.95333333337</x:v>
      </x:c>
    </x:row>
    <x:row r="6" ht="15" hidden="0" customHeight="1">
      <x:c r="A6" s="11" t="str">
        <x:f>'Cost_Model'!A6</x:f>
        <x:v>권장 MVP</x:v>
      </x:c>
      <x:c r="B6" s="19" t="n">
        <x:f>'Cost_Model'!B6</x:f>
        <x:v>1000</x:v>
      </x:c>
      <x:c r="C6" s="19" t="n">
        <x:f>'Cost_Model'!C6</x:f>
        <x:v>12000000</x:v>
      </x:c>
      <x:c r="D6" s="19" t="n">
        <x:f>'Cost_Model'!J6</x:f>
        <x:v>572696.3933333334</x:v>
      </x:c>
      <x:c r="J6" s="11" t="str">
        <x:f>A6</x:f>
        <x:v>권장 MVP</x:v>
      </x:c>
      <x:c r="K6" s="19" t="n">
        <x:f>C12</x:f>
        <x:v>123896.39333333333</x:v>
      </x:c>
      <x:c r="L6" s="19" t="n">
        <x:f>C13</x:f>
        <x:v>448800.0000000001</x:v>
      </x:c>
      <x:c r="M6" s="19" t="n">
        <x:f>D6</x:f>
        <x:v>572696.3933333334</x:v>
      </x:c>
    </x:row>
    <x:row r="7" ht="15" hidden="0" customHeight="1">
      <x:c r="A7" s="11" t="str">
        <x:f>'Cost_Model'!A7</x:f>
        <x:v>성장 단계</x:v>
      </x:c>
      <x:c r="B7" s="19" t="n">
        <x:f>'Cost_Model'!B7</x:f>
        <x:v>3000</x:v>
      </x:c>
      <x:c r="C7" s="19" t="n">
        <x:f>'Cost_Model'!C7</x:f>
        <x:v>36000000</x:v>
      </x:c>
      <x:c r="D7" s="19" t="n">
        <x:f>'Cost_Model'!J7</x:f>
        <x:v>1969179.6733333333</x:v>
      </x:c>
      <x:c r="J7" s="11" t="str">
        <x:f>A7</x:f>
        <x:v>성장 단계</x:v>
      </x:c>
      <x:c r="K7" s="19" t="n">
        <x:f>D12</x:f>
        <x:v>622779.6733333333</x:v>
      </x:c>
      <x:c r="L7" s="19" t="n">
        <x:f>D13</x:f>
        <x:v>1346400</x:v>
      </x:c>
      <x:c r="M7" s="19" t="n">
        <x:f>D7</x:f>
        <x:v>1969179.6733333333</x:v>
      </x:c>
    </x:row>
    <x:row r="8"/>
    <x:row r="9"/>
    <x:row r="10" ht="15.600000381469727" hidden="0" customHeight="1">
      <x:c r="A10" s="21" t="str">
        <x:v>핵심 요약</x:v>
      </x:c>
    </x:row>
    <x:row r="11" ht="15" hidden="0" customHeight="1">
      <x:c r="A11" s="14" t="str">
        <x:v>지표</x:v>
      </x:c>
      <x:c r="B11" s="14" t="str">
        <x:v>저비용 MVP</x:v>
      </x:c>
      <x:c r="C11" s="14" t="str">
        <x:v>권장 MVP</x:v>
      </x:c>
      <x:c r="D11" s="14" t="str">
        <x:v>성장 단계</x:v>
      </x:c>
      <x:c r="E11" s="14" t="str">
        <x:v>설명</x:v>
      </x:c>
      <x:c r="F11" s="14"/>
      <x:c r="G11" s="14"/>
      <x:c r="H11" s="14"/>
    </x:row>
    <x:row r="12" ht="15" hidden="0" customHeight="1">
      <x:c r="A12" s="11" t="str">
        <x:v>월 고정성 비용</x:v>
      </x:c>
      <x:c r="B12" s="19" t="n">
        <x:f>'Cost_Model'!E5+'Cost_Model'!F5+'Cost_Model'!G5+'Cost_Model'!I5</x:f>
        <x:v>40478.95333333333</x:v>
      </x:c>
      <x:c r="C12" s="19" t="n">
        <x:f>'Cost_Model'!E6+'Cost_Model'!F6+'Cost_Model'!G6+'Cost_Model'!I6</x:f>
        <x:v>123896.39333333333</x:v>
      </x:c>
      <x:c r="D12" s="19" t="n">
        <x:f>'Cost_Model'!E7+'Cost_Model'!F7+'Cost_Model'!G7+'Cost_Model'!I7</x:f>
        <x:v>622779.6733333333</x:v>
      </x:c>
      <x:c r="E12" s="11" t="str">
        <x:v>클라우드/연간비 월환산/지도/예비비</x:v>
      </x:c>
      <x:c r="F12" s="11"/>
      <x:c r="G12" s="11"/>
      <x:c r="H12" s="11"/>
    </x:row>
    <x:row r="13" ht="15" hidden="0" customHeight="1">
      <x:c r="A13" s="11" t="str">
        <x:v>결제 수수료</x:v>
      </x:c>
      <x:c r="B13" s="19" t="n">
        <x:f>'Cost_Model'!H5</x:f>
        <x:v>134640.00000000003</x:v>
      </x:c>
      <x:c r="C13" s="19" t="n">
        <x:f>'Cost_Model'!H6</x:f>
        <x:v>448800.0000000001</x:v>
      </x:c>
      <x:c r="D13" s="19" t="n">
        <x:f>'Cost_Model'!H7</x:f>
        <x:v>1346400</x:v>
      </x:c>
      <x:c r="E13" s="11" t="str">
        <x:v>월 매출과 카드 수수료에 따라 변동</x:v>
      </x:c>
      <x:c r="F13" s="11"/>
      <x:c r="G13" s="11"/>
      <x:c r="H13" s="11"/>
    </x:row>
    <x:row r="14" ht="15" hidden="0" customHeight="1">
      <x:c r="A14" s="11" t="str">
        <x:v>첫해 총 현금 유출</x:v>
      </x:c>
      <x:c r="B14" s="19" t="n">
        <x:f>'Cost_Model'!K5</x:f>
        <x:v>2355893.4400000004</x:v>
      </x:c>
      <x:c r="C14" s="19" t="n">
        <x:f>'Cost_Model'!K6</x:f>
        <x:v>7126822.7200000025</x:v>
      </x:c>
      <x:c r="D14" s="19" t="n">
        <x:f>'Cost_Model'!K7</x:f>
        <x:v>23884622.08</x:v>
      </x:c>
      <x:c r="E14" s="11" t="str">
        <x:v>1년 운영비 + 앱스토어/PG 초기 비용</x:v>
      </x:c>
      <x:c r="F14" s="11"/>
      <x:c r="G14" s="11"/>
      <x:c r="H14" s="11"/>
    </x:row>
    <x:row r="15"/>
    <x:row r="16"/>
    <x:row r="17" ht="15.600000381469727" hidden="0" customHeight="1">
      <x:c r="A17" s="21" t="str">
        <x:v>첫 출시 준비비</x:v>
      </x:c>
    </x:row>
    <x:row r="18" ht="15" hidden="0" customHeight="1">
      <x:c r="A18" s="14" t="str">
        <x:v>항목</x:v>
      </x:c>
      <x:c r="B18" s="14" t="str">
        <x:v>금액</x:v>
      </x:c>
      <x:c r="C18" s="14" t="str">
        <x:v>주기</x:v>
      </x:c>
      <x:c r="D18" s="14" t="str">
        <x:v>비고</x:v>
      </x:c>
    </x:row>
    <x:row r="19" ht="15" hidden="0" customHeight="1">
      <x:c r="A19" s="11" t="str">
        <x:v>Apple Developer</x:v>
      </x:c>
      <x:c r="B19" s="19" t="n">
        <x:f>'Assumptions'!C14*'Assumptions'!C5</x:f>
        <x:v>136485.36000000002</x:v>
      </x:c>
      <x:c r="C19" s="11" t="str">
        <x:v>연 1회</x:v>
      </x:c>
      <x:c r="D19" s="11" t="str">
        <x:v>iOS 앱스토어 배포</x:v>
      </x:c>
    </x:row>
    <x:row r="20" ht="15" hidden="0" customHeight="1">
      <x:c r="A20" s="11" t="str">
        <x:v>Google Play Console</x:v>
      </x:c>
      <x:c r="B20" s="19" t="n">
        <x:f>'Assumptions'!C15*'Assumptions'!C5</x:f>
        <x:v>34466</x:v>
      </x:c>
      <x:c r="C20" s="11" t="str">
        <x:v>1회</x:v>
      </x:c>
      <x:c r="D20" s="11" t="str">
        <x:v>Android 배포</x:v>
      </x:c>
    </x:row>
    <x:row r="21" ht="15" hidden="0" customHeight="1">
      <x:c r="A21" s="11" t="str">
        <x:v>도메인</x:v>
      </x:c>
      <x:c r="B21" s="19" t="n">
        <x:f>'Assumptions'!C16</x:f>
        <x:v>20000</x:v>
      </x:c>
      <x:c r="C21" s="11" t="str">
        <x:v>연 1회</x:v>
      </x:c>
      <x:c r="D21" s="11" t="str">
        <x:v>API/관리자 도메인</x:v>
      </x:c>
    </x:row>
    <x:row r="22" ht="15" hidden="0" customHeight="1">
      <x:c r="A22" s="11" t="str">
        <x:v>PG 가입비</x:v>
      </x:c>
      <x:c r="B22" s="19" t="n">
        <x:f>'Assumptions'!C17</x:f>
        <x:v>220000</x:v>
      </x:c>
      <x:c r="C22" s="11" t="str">
        <x:v>1회</x:v>
      </x:c>
      <x:c r="D22" s="11" t="str">
        <x:v>Toss Payments 기준</x:v>
      </x:c>
    </x:row>
    <x:row r="23" ht="15" hidden="0" customHeight="1">
      <x:c r="A23" s="11" t="str">
        <x:v>PG 연관리비</x:v>
      </x:c>
      <x:c r="B23" s="19" t="n">
        <x:f>'Assumptions'!C18</x:f>
        <x:v>110000</x:v>
      </x:c>
      <x:c r="C23" s="11" t="str">
        <x:v>연 1회</x:v>
      </x:c>
      <x:c r="D23" s="11" t="str">
        <x:v>Toss Payments 기준</x:v>
      </x:c>
    </x:row>
    <x:row r="24" ht="15" hidden="0" customHeight="1">
      <x:c r="A24" s="25" t="str">
        <x:v>합계</x:v>
      </x:c>
      <x:c r="B24" s="26" t="n">
        <x:f>SUM(B19:B23)</x:f>
        <x:v>520951.36</x:v>
      </x:c>
      <x:c r="C24" s="25" t="str"/>
      <x:c r="D24" s="25" t="str"/>
    </x:row>
  </x:sheetData>
  <x:mergeCells>
    <x:mergeCell ref="A1:H1"/>
    <x:mergeCell ref="A2:H2"/>
    <x:mergeCell ref="E11:H11"/>
    <x:mergeCell ref="E12:H12"/>
    <x:mergeCell ref="E13:H13"/>
    <x:mergeCell ref="E14:H14"/>
  </x:mergeCells>
  <x:pageMargins left="0.7" right="0.7" top="0.75" bottom="0.75" header="0.3" footer="0.3"/>
  <x:drawing xmlns:r="http://schemas.openxmlformats.org/officeDocument/2006/relationships" r:id="Rd57b8d2e6b8d4d0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2" hidden="0" customWidth="1"/>
    <x:col min="5" max="5" width="18" hidden="0" customWidth="1"/>
    <x:col min="6" max="6" width="18" hidden="0" customWidth="1"/>
    <x:col min="7" max="7" width="30" hidden="0" customWidth="1"/>
    <x:col min="8" max="8" width="40" hidden="0" customWidth="1"/>
  </x:cols>
  <x:sheetData>
    <x:row r="1" ht="21.600000381469727" hidden="0" customHeight="1">
      <x:c r="A1" s="4" t="str">
        <x:v>샐러드 앱 비용 가정</x:v>
      </x:c>
      <x:c r="B1" s="4" t="str">
        <x:v>샐러드 앱 비용 가정</x:v>
      </x:c>
      <x:c r="C1" s="4" t="str">
        <x:v>샐러드 앱 비용 가정</x:v>
      </x:c>
      <x:c r="D1" s="4" t="str">
        <x:v>샐러드 앱 비용 가정</x:v>
      </x:c>
      <x:c r="E1" s="4" t="str">
        <x:v>샐러드 앱 비용 가정</x:v>
      </x:c>
      <x:c r="F1" s="4" t="str">
        <x:v>샐러드 앱 비용 가정</x:v>
      </x:c>
      <x:c r="G1" s="4" t="str">
        <x:v>샐러드 앱 비용 가정</x:v>
      </x:c>
      <x:c r="H1" s="4" t="str">
        <x:v>샐러드 앱 비용 가정</x:v>
      </x:c>
    </x:row>
    <x:row r="2" ht="15" hidden="0" customHeight="1">
      <x:c r="A2" s="8" t="str">
        <x:v>노란색 셀을 바꾸면 Summary와 Cost_Model이 자동으로 재계산됩니다.</x:v>
      </x:c>
      <x:c r="B2" s="8" t="str">
        <x:v>노란색 셀을 바꾸면 Summary와 Cost_Model이 자동으로 재계산됩니다.</x:v>
      </x:c>
      <x:c r="C2" s="8" t="str">
        <x:v>노란색 셀을 바꾸면 Summary와 Cost_Model이 자동으로 재계산됩니다.</x:v>
      </x:c>
      <x:c r="D2" s="8" t="str">
        <x:v>노란색 셀을 바꾸면 Summary와 Cost_Model이 자동으로 재계산됩니다.</x:v>
      </x:c>
      <x:c r="E2" s="8" t="str">
        <x:v>노란색 셀을 바꾸면 Summary와 Cost_Model이 자동으로 재계산됩니다.</x:v>
      </x:c>
      <x:c r="F2" s="8" t="str">
        <x:v>노란색 셀을 바꾸면 Summary와 Cost_Model이 자동으로 재계산됩니다.</x:v>
      </x:c>
      <x:c r="G2" s="8" t="str">
        <x:v>노란색 셀을 바꾸면 Summary와 Cost_Model이 자동으로 재계산됩니다.</x:v>
      </x:c>
      <x:c r="H2" s="8" t="str">
        <x:v>노란색 셀을 바꾸면 Summary와 Cost_Model이 자동으로 재계산됩니다.</x:v>
      </x:c>
    </x:row>
    <x:row r="3"/>
    <x:row r="4" ht="15" hidden="0" customHeight="1">
      <x:c r="A4" s="14" t="str">
        <x:v>구분</x:v>
      </x:c>
      <x:c r="B4" s="14" t="str">
        <x:v>항목</x:v>
      </x:c>
      <x:c r="C4" s="14" t="str">
        <x:v>저비용 MVP</x:v>
      </x:c>
      <x:c r="D4" s="14" t="str">
        <x:v>권장 MVP</x:v>
      </x:c>
      <x:c r="E4" s="14" t="str">
        <x:v>성장 단계</x:v>
      </x:c>
      <x:c r="F4" s="14" t="str">
        <x:v>단위</x:v>
      </x:c>
      <x:c r="G4" s="14" t="str">
        <x:v>설명</x:v>
      </x:c>
      <x:c r="H4" s="14" t="str">
        <x:v>출처/근거</x:v>
      </x:c>
    </x:row>
    <x:row r="5" ht="15" hidden="0" customHeight="1">
      <x:c r="A5" s="11" t="str">
        <x:v>공통</x:v>
      </x:c>
      <x:c r="B5" s="11" t="str">
        <x:v>USD/KRW 환율</x:v>
      </x:c>
      <x:c r="C5" s="16" t="n">
        <x:v>1378.64</x:v>
      </x:c>
      <x:c r="D5" s="16" t="n">
        <x:v>1378.64</x:v>
      </x:c>
      <x:c r="E5" s="16" t="n">
        <x:v>1378.64</x:v>
      </x:c>
      <x:c r="F5" s="11" t="str">
        <x:v>KRW/USD</x:v>
      </x:c>
      <x:c r="G5" s="11" t="str">
        <x:v>2026-08-31 근처 환율</x:v>
      </x:c>
      <x:c r="H5" s="11" t="str">
        <x:v>Investing.com USD/KRW</x:v>
      </x:c>
    </x:row>
    <x:row r="6" ht="15" hidden="0" customHeight="1">
      <x:c r="A6" s="11" t="str">
        <x:v>공통</x:v>
      </x:c>
      <x:c r="B6" s="11" t="str">
        <x:v>월 주문 수</x:v>
      </x:c>
      <x:c r="C6" s="17" t="n">
        <x:v>300</x:v>
      </x:c>
      <x:c r="D6" s="17" t="n">
        <x:v>1000</x:v>
      </x:c>
      <x:c r="E6" s="17" t="n">
        <x:v>3000</x:v>
      </x:c>
      <x:c r="F6" s="11" t="str">
        <x:v>건</x:v>
      </x:c>
      <x:c r="G6" s="11" t="str">
        <x:v>월간 앱 주문 건수</x:v>
      </x:c>
      <x:c r="H6" s="11" t="str">
        <x:v>사업 가정</x:v>
      </x:c>
    </x:row>
    <x:row r="7" ht="15" hidden="0" customHeight="1">
      <x:c r="A7" s="11" t="str">
        <x:v>공통</x:v>
      </x:c>
      <x:c r="B7" s="11" t="str">
        <x:v>평균 주문 금액</x:v>
      </x:c>
      <x:c r="C7" s="17" t="n">
        <x:v>12000</x:v>
      </x:c>
      <x:c r="D7" s="17" t="n">
        <x:v>12000</x:v>
      </x:c>
      <x:c r="E7" s="17" t="n">
        <x:v>12000</x:v>
      </x:c>
      <x:c r="F7" s="11" t="str">
        <x:v>KRW/건</x:v>
      </x:c>
      <x:c r="G7" s="11" t="str">
        <x:v>샐러드 1건 평균 결제액</x:v>
      </x:c>
      <x:c r="H7" s="11" t="str">
        <x:v>사업 가정</x:v>
      </x:c>
    </x:row>
    <x:row r="8" ht="15" hidden="0" customHeight="1">
      <x:c r="A8" s="11" t="str">
        <x:v>공통</x:v>
      </x:c>
      <x:c r="B8" s="11" t="str">
        <x:v>VAT</x:v>
      </x:c>
      <x:c r="C8" s="18" t="n">
        <x:v>0.1</x:v>
      </x:c>
      <x:c r="D8" s="18" t="n">
        <x:v>0.1</x:v>
      </x:c>
      <x:c r="E8" s="18" t="n">
        <x:v>0.1</x:v>
      </x:c>
      <x:c r="F8" s="11" t="str">
        <x:v>%</x:v>
      </x:c>
      <x:c r="G8" s="11" t="str">
        <x:v>수수료 부가세 계산</x:v>
      </x:c>
      <x:c r="H8" s="11" t="str">
        <x:v>국내 일반 세율 가정</x:v>
      </x:c>
    </x:row>
    <x:row r="9" ht="15" hidden="0" customHeight="1">
      <x:c r="A9" s="11" t="str">
        <x:v>서버</x:v>
      </x:c>
      <x:c r="B9" s="11" t="str">
        <x:v>Spring Boot 서버</x:v>
      </x:c>
      <x:c r="C9" s="17" t="n">
        <x:v>5</x:v>
      </x:c>
      <x:c r="D9" s="17" t="n">
        <x:v>15</x:v>
      </x:c>
      <x:c r="E9" s="17" t="n">
        <x:v>40</x:v>
      </x:c>
      <x:c r="F9" s="11" t="str">
        <x:v>USD/월</x:v>
      </x:c>
      <x:c r="G9" s="11" t="str">
        <x:v>VPS 또는 컨테이너/인스턴스</x:v>
      </x:c>
      <x:c r="H9" s="11" t="str">
        <x:v>AWS Lightsail pricing</x:v>
      </x:c>
    </x:row>
    <x:row r="10" ht="15" hidden="0" customHeight="1">
      <x:c r="A10" s="11" t="str">
        <x:v>서버</x:v>
      </x:c>
      <x:c r="B10" s="11" t="str">
        <x:v>PostgreSQL DB</x:v>
      </x:c>
      <x:c r="C10" s="17" t="n">
        <x:v>0</x:v>
      </x:c>
      <x:c r="D10" s="17" t="n">
        <x:v>15</x:v>
      </x:c>
      <x:c r="E10" s="17" t="n">
        <x:v>60</x:v>
      </x:c>
      <x:c r="F10" s="11" t="str">
        <x:v>USD/월</x:v>
      </x:c>
      <x:c r="G10" s="11" t="str">
        <x:v>초기에는 같은 서버, 권장은 Managed DB</x:v>
      </x:c>
      <x:c r="H10" s="11" t="str">
        <x:v>AWS Lightsail managed database</x:v>
      </x:c>
    </x:row>
    <x:row r="11" ht="15" hidden="0" customHeight="1">
      <x:c r="A11" s="11" t="str">
        <x:v>서버</x:v>
      </x:c>
      <x:c r="B11" s="11" t="str">
        <x:v>백업/스토리지</x:v>
      </x:c>
      <x:c r="C11" s="17" t="n">
        <x:v>1</x:v>
      </x:c>
      <x:c r="D11" s="17" t="n">
        <x:v>3</x:v>
      </x:c>
      <x:c r="E11" s="17" t="n">
        <x:v>10</x:v>
      </x:c>
      <x:c r="F11" s="11" t="str">
        <x:v>USD/월</x:v>
      </x:c>
      <x:c r="G11" s="11" t="str">
        <x:v>스냅샷, 추가 스토리지, 백업 여유</x:v>
      </x:c>
      <x:c r="H11" s="11" t="str">
        <x:v>AWS Lightsail storage pricing</x:v>
      </x:c>
    </x:row>
    <x:row r="12" ht="15" hidden="0" customHeight="1">
      <x:c r="A12" s="11" t="str">
        <x:v>서버</x:v>
      </x:c>
      <x:c r="B12" s="11" t="str">
        <x:v>모니터링/로그</x:v>
      </x:c>
      <x:c r="C12" s="17" t="n">
        <x:v>0</x:v>
      </x:c>
      <x:c r="D12" s="17" t="n">
        <x:v>0</x:v>
      </x:c>
      <x:c r="E12" s="17" t="n">
        <x:v>20</x:v>
      </x:c>
      <x:c r="F12" s="11" t="str">
        <x:v>USD/월</x:v>
      </x:c>
      <x:c r="G12" s="11" t="str">
        <x:v>성장 단계에서 별도 로그/모니터링 가정</x:v>
      </x:c>
      <x:c r="H12" s="11" t="str">
        <x:v>운영 가정</x:v>
      </x:c>
    </x:row>
    <x:row r="13" ht="15" hidden="0" customHeight="1">
      <x:c r="A13" s="11" t="str">
        <x:v>앱 빌드</x:v>
      </x:c>
      <x:c r="B13" s="11" t="str">
        <x:v>Expo EAS</x:v>
      </x:c>
      <x:c r="C13" s="17" t="n">
        <x:v>0</x:v>
      </x:c>
      <x:c r="D13" s="17" t="n">
        <x:v>19</x:v>
      </x:c>
      <x:c r="E13" s="17" t="n">
        <x:v>199</x:v>
      </x:c>
      <x:c r="F13" s="11" t="str">
        <x:v>USD/월</x:v>
      </x:c>
      <x:c r="G13" s="11" t="str">
        <x:v>무료/Starter/Production 플랜</x:v>
      </x:c>
      <x:c r="H13" s="11" t="str">
        <x:v>Expo pricing</x:v>
      </x:c>
    </x:row>
    <x:row r="14" ht="15" hidden="0" customHeight="1">
      <x:c r="A14" s="11" t="str">
        <x:v>배포</x:v>
      </x:c>
      <x:c r="B14" s="11" t="str">
        <x:v>Apple Developer</x:v>
      </x:c>
      <x:c r="C14" s="17" t="n">
        <x:v>99</x:v>
      </x:c>
      <x:c r="D14" s="17" t="n">
        <x:v>99</x:v>
      </x:c>
      <x:c r="E14" s="17" t="n">
        <x:v>99</x:v>
      </x:c>
      <x:c r="F14" s="11" t="str">
        <x:v>USD/년</x:v>
      </x:c>
      <x:c r="G14" s="11" t="str">
        <x:v>iOS 앱스토어 배포 연회비</x:v>
      </x:c>
      <x:c r="H14" s="11" t="str">
        <x:v>Apple Developer Program</x:v>
      </x:c>
    </x:row>
    <x:row r="15" ht="15" hidden="0" customHeight="1">
      <x:c r="A15" s="11" t="str">
        <x:v>배포</x:v>
      </x:c>
      <x:c r="B15" s="11" t="str">
        <x:v>Google Play Console</x:v>
      </x:c>
      <x:c r="C15" s="17" t="n">
        <x:v>25</x:v>
      </x:c>
      <x:c r="D15" s="17" t="n">
        <x:v>25</x:v>
      </x:c>
      <x:c r="E15" s="17" t="n">
        <x:v>25</x:v>
      </x:c>
      <x:c r="F15" s="11" t="str">
        <x:v>USD/1회</x:v>
      </x:c>
      <x:c r="G15" s="11" t="str">
        <x:v>Android 배포 계정 등록비</x:v>
      </x:c>
      <x:c r="H15" s="11" t="str">
        <x:v>Google Play Console Help</x:v>
      </x:c>
    </x:row>
    <x:row r="16" ht="15" hidden="0" customHeight="1">
      <x:c r="A16" s="11" t="str">
        <x:v>도메인</x:v>
      </x:c>
      <x:c r="B16" s="11" t="str">
        <x:v>도메인</x:v>
      </x:c>
      <x:c r="C16" s="17" t="n">
        <x:v>20000</x:v>
      </x:c>
      <x:c r="D16" s="17" t="n">
        <x:v>20000</x:v>
      </x:c>
      <x:c r="E16" s="17" t="n">
        <x:v>20000</x:v>
      </x:c>
      <x:c r="F16" s="11" t="str">
        <x:v>KRW/년</x:v>
      </x:c>
      <x:c r="G16" s="11" t="str">
        <x:v>앱/관리자 API 도메인</x:v>
      </x:c>
      <x:c r="H16" s="11" t="str">
        <x:v>국내 도메인 구매 가정</x:v>
      </x:c>
    </x:row>
    <x:row r="17" ht="15" hidden="0" customHeight="1">
      <x:c r="A17" s="11" t="str">
        <x:v>결제</x:v>
      </x:c>
      <x:c r="B17" s="11" t="str">
        <x:v>PG 가입비</x:v>
      </x:c>
      <x:c r="C17" s="17" t="n">
        <x:v>220000</x:v>
      </x:c>
      <x:c r="D17" s="17" t="n">
        <x:v>220000</x:v>
      </x:c>
      <x:c r="E17" s="17" t="n">
        <x:v>220000</x:v>
      </x:c>
      <x:c r="F17" s="11" t="str">
        <x:v>KRW/1회</x:v>
      </x:c>
      <x:c r="G17" s="11" t="str">
        <x:v>Toss Payments 기준</x:v>
      </x:c>
      <x:c r="H17" s="11" t="str">
        <x:v>Toss Payments fee</x:v>
      </x:c>
    </x:row>
    <x:row r="18" ht="15" hidden="0" customHeight="1">
      <x:c r="A18" s="11" t="str">
        <x:v>결제</x:v>
      </x:c>
      <x:c r="B18" s="11" t="str">
        <x:v>PG 연관리비</x:v>
      </x:c>
      <x:c r="C18" s="17" t="n">
        <x:v>110000</x:v>
      </x:c>
      <x:c r="D18" s="17" t="n">
        <x:v>110000</x:v>
      </x:c>
      <x:c r="E18" s="17" t="n">
        <x:v>110000</x:v>
      </x:c>
      <x:c r="F18" s="11" t="str">
        <x:v>KRW/년</x:v>
      </x:c>
      <x:c r="G18" s="11" t="str">
        <x:v>Toss Payments 기준</x:v>
      </x:c>
      <x:c r="H18" s="11" t="str">
        <x:v>Toss Payments fee</x:v>
      </x:c>
    </x:row>
    <x:row r="19" ht="15" hidden="0" customHeight="1">
      <x:c r="A19" s="11" t="str">
        <x:v>결제</x:v>
      </x:c>
      <x:c r="B19" s="11" t="str">
        <x:v>카드 결제 수수료</x:v>
      </x:c>
      <x:c r="C19" s="18" t="n">
        <x:v>0.034</x:v>
      </x:c>
      <x:c r="D19" s="18" t="n">
        <x:v>0.034</x:v>
      </x:c>
      <x:c r="E19" s="18" t="n">
        <x:v>0.034</x:v>
      </x:c>
      <x:c r="F19" s="11" t="str">
        <x:v>%</x:v>
      </x:c>
      <x:c r="G19" s="11" t="str">
        <x:v>일반 카드 수수료</x:v>
      </x:c>
      <x:c r="H19" s="11" t="str">
        <x:v>Toss Payments fee</x:v>
      </x:c>
    </x:row>
    <x:row r="20" ht="15" hidden="0" customHeight="1">
      <x:c r="A20" s="11" t="str">
        <x:v>지도</x:v>
      </x:c>
      <x:c r="B20" s="11" t="str">
        <x:v>지도 SDK 호출</x:v>
      </x:c>
      <x:c r="C20" s="17" t="n">
        <x:v>5000</x:v>
      </x:c>
      <x:c r="D20" s="17" t="n">
        <x:v>30000</x:v>
      </x:c>
      <x:c r="E20" s="17" t="n">
        <x:v>120000</x:v>
      </x:c>
      <x:c r="F20" s="11" t="str">
        <x:v>건/월</x:v>
      </x:c>
      <x:c r="G20" s="11" t="str">
        <x:v>기사/관리자 지도 조회</x:v>
      </x:c>
      <x:c r="H20" s="11" t="str">
        <x:v>Kakao Developers quota</x:v>
      </x:c>
    </x:row>
    <x:row r="21" ht="15" hidden="0" customHeight="1">
      <x:c r="A21" s="11" t="str">
        <x:v>지도</x:v>
      </x:c>
      <x:c r="B21" s="11" t="str">
        <x:v>지도 SDK 단가</x:v>
      </x:c>
      <x:c r="C21" s="17" t="n">
        <x:v>0.1</x:v>
      </x:c>
      <x:c r="D21" s="17" t="n">
        <x:v>0.1</x:v>
      </x:c>
      <x:c r="E21" s="17" t="n">
        <x:v>0.1</x:v>
      </x:c>
      <x:c r="F21" s="11" t="str">
        <x:v>KRW/건</x:v>
      </x:c>
      <x:c r="G21" s="11" t="str">
        <x:v>유료 초과 사용 시 SDK 단가</x:v>
      </x:c>
      <x:c r="H21" s="11" t="str">
        <x:v>Kakao Developers quota</x:v>
      </x:c>
    </x:row>
    <x:row r="22" ht="15" hidden="0" customHeight="1">
      <x:c r="A22" s="11" t="str">
        <x:v>지도</x:v>
      </x:c>
      <x:c r="B22" s="11" t="str">
        <x:v>주소 변환 호출</x:v>
      </x:c>
      <x:c r="C22" s="17" t="n">
        <x:v>1000</x:v>
      </x:c>
      <x:c r="D22" s="17" t="n">
        <x:v>3000</x:v>
      </x:c>
      <x:c r="E22" s="17" t="n">
        <x:v>10000</x:v>
      </x:c>
      <x:c r="F22" s="11" t="str">
        <x:v>건/월</x:v>
      </x:c>
      <x:c r="G22" s="11" t="str">
        <x:v>주소/좌표 변환</x:v>
      </x:c>
      <x:c r="H22" s="11" t="str">
        <x:v>Kakao Developers quota</x:v>
      </x:c>
    </x:row>
    <x:row r="23" ht="15" hidden="0" customHeight="1">
      <x:c r="A23" s="11" t="str">
        <x:v>지도</x:v>
      </x:c>
      <x:c r="B23" s="11" t="str">
        <x:v>주소 변환 단가</x:v>
      </x:c>
      <x:c r="C23" s="17" t="n">
        <x:v>0.5</x:v>
      </x:c>
      <x:c r="D23" s="17" t="n">
        <x:v>0.5</x:v>
      </x:c>
      <x:c r="E23" s="17" t="n">
        <x:v>0.5</x:v>
      </x:c>
      <x:c r="F23" s="11" t="str">
        <x:v>KRW/건</x:v>
      </x:c>
      <x:c r="G23" s="11" t="str">
        <x:v>유료 초과 사용 시 단가</x:v>
      </x:c>
      <x:c r="H23" s="11" t="str">
        <x:v>Kakao Developers quota</x:v>
      </x:c>
    </x:row>
    <x:row r="24" ht="15" hidden="0" customHeight="1">
      <x:c r="A24" s="11" t="str">
        <x:v>지도</x:v>
      </x:c>
      <x:c r="B24" s="11" t="str">
        <x:v>경로 조회 호출</x:v>
      </x:c>
      <x:c r="C24" s="17" t="n">
        <x:v>300</x:v>
      </x:c>
      <x:c r="D24" s="17" t="n">
        <x:v>1000</x:v>
      </x:c>
      <x:c r="E24" s="17" t="n">
        <x:v>3000</x:v>
      </x:c>
      <x:c r="F24" s="11" t="str">
        <x:v>건/월</x:v>
      </x:c>
      <x:c r="G24" s="11" t="str">
        <x:v>도보/경로 API 호출</x:v>
      </x:c>
      <x:c r="H24" s="11" t="str">
        <x:v>Kakao Developers quota</x:v>
      </x:c>
    </x:row>
    <x:row r="25" ht="15" hidden="0" customHeight="1">
      <x:c r="A25" s="11" t="str">
        <x:v>지도</x:v>
      </x:c>
      <x:c r="B25" s="11" t="str">
        <x:v>경로 조회 단가</x:v>
      </x:c>
      <x:c r="C25" s="17" t="n">
        <x:v>10</x:v>
      </x:c>
      <x:c r="D25" s="17" t="n">
        <x:v>10</x:v>
      </x:c>
      <x:c r="E25" s="17" t="n">
        <x:v>10</x:v>
      </x:c>
      <x:c r="F25" s="11" t="str">
        <x:v>KRW/건</x:v>
      </x:c>
      <x:c r="G25" s="11" t="str">
        <x:v>유료 초과 사용 시 단가</x:v>
      </x:c>
      <x:c r="H25" s="11" t="str">
        <x:v>Kakao Developers quota</x:v>
      </x:c>
    </x:row>
    <x:row r="26" ht="15" hidden="0" customHeight="1">
      <x:c r="A26" s="11" t="str">
        <x:v>알림</x:v>
      </x:c>
      <x:c r="B26" s="11" t="str">
        <x:v>FCM 푸시 알림</x:v>
      </x:c>
      <x:c r="C26" s="17" t="n">
        <x:v>0</x:v>
      </x:c>
      <x:c r="D26" s="17" t="n">
        <x:v>0</x:v>
      </x:c>
      <x:c r="E26" s="17" t="n">
        <x:v>0</x:v>
      </x:c>
      <x:c r="F26" s="11" t="str">
        <x:v>KRW/월</x:v>
      </x:c>
      <x:c r="G26" s="11" t="str">
        <x:v>Firebase Cloud Messaging</x:v>
      </x:c>
      <x:c r="H26" s="11" t="str">
        <x:v>Firebase pricing</x:v>
      </x:c>
    </x:row>
    <x:row r="27" ht="15" hidden="0" customHeight="1">
      <x:c r="A27" s="11" t="str">
        <x:v>운영</x:v>
      </x:c>
      <x:c r="B27" s="11" t="str">
        <x:v>기타 예비비</x:v>
      </x:c>
      <x:c r="C27" s="17" t="n">
        <x:v>10000</x:v>
      </x:c>
      <x:c r="D27" s="17" t="n">
        <x:v>30000</x:v>
      </x:c>
      <x:c r="E27" s="17" t="n">
        <x:v>100000</x:v>
      </x:c>
      <x:c r="F27" s="11" t="str">
        <x:v>KRW/월</x:v>
      </x:c>
      <x:c r="G27" s="11" t="str">
        <x:v>예상 밖 운영 비용 완충</x:v>
      </x:c>
      <x:c r="H27" s="11" t="str">
        <x:v>운영 가정</x:v>
      </x:c>
    </x:row>
    <x:row r="28" ht="15" hidden="0" customHeight="1">
      <x:c r="A28" s="11" t="str">
        <x:v>정책</x:v>
      </x:c>
      <x:c r="B28" s="11" t="str">
        <x:v>무료 지도 쿼터 적용</x:v>
      </x:c>
      <x:c r="C28" s="15" t="str">
        <x:v>예</x:v>
      </x:c>
      <x:c r="D28" s="15" t="str">
        <x:v>예</x:v>
      </x:c>
      <x:c r="E28" s="15" t="str">
        <x:v>아니오</x:v>
      </x:c>
      <x:c r="F28" s="11" t="str">
        <x:v>Y/N</x:v>
      </x:c>
      <x:c r="G28" s="11" t="str">
        <x:v>무료 쿼터 안이면 지도 API 비용은 0원 처리</x:v>
      </x:c>
      <x:c r="H28" s="11" t="str">
        <x:v>Kakao Developers policy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c2a7f75f45d3451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1.600000381469727" hidden="0" customHeight="1">
      <x:c r="A1" s="4" t="str">
        <x:v>시나리오별 비용 모델</x:v>
      </x:c>
      <x:c r="B1" s="4" t="str">
        <x:v>시나리오별 비용 모델</x:v>
      </x:c>
      <x:c r="C1" s="4" t="str">
        <x:v>시나리오별 비용 모델</x:v>
      </x:c>
      <x:c r="D1" s="4" t="str">
        <x:v>시나리오별 비용 모델</x:v>
      </x:c>
      <x:c r="E1" s="4" t="str">
        <x:v>시나리오별 비용 모델</x:v>
      </x:c>
      <x:c r="F1" s="4" t="str">
        <x:v>시나리오별 비용 모델</x:v>
      </x:c>
      <x:c r="G1" s="4" t="str">
        <x:v>시나리오별 비용 모델</x:v>
      </x:c>
      <x:c r="H1" s="4" t="str">
        <x:v>시나리오별 비용 모델</x:v>
      </x:c>
      <x:c r="I1" s="4" t="str">
        <x:v>시나리오별 비용 모델</x:v>
      </x:c>
      <x:c r="J1" s="4" t="str">
        <x:v>시나리오별 비용 모델</x:v>
      </x:c>
      <x:c r="K1" s="4" t="str">
        <x:v>시나리오별 비용 모델</x:v>
      </x:c>
    </x:row>
    <x:row r="2" ht="15" hidden="0" customHeight="1">
      <x:c r="A2" s="8" t="str">
        <x:v>Summary는 이 탭의 수식을 참조합니다.</x:v>
      </x:c>
      <x:c r="B2" s="8" t="str">
        <x:v>Summary는 이 탭의 수식을 참조합니다.</x:v>
      </x:c>
      <x:c r="C2" s="8" t="str">
        <x:v>Summary는 이 탭의 수식을 참조합니다.</x:v>
      </x:c>
      <x:c r="D2" s="8" t="str">
        <x:v>Summary는 이 탭의 수식을 참조합니다.</x:v>
      </x:c>
      <x:c r="E2" s="8" t="str">
        <x:v>Summary는 이 탭의 수식을 참조합니다.</x:v>
      </x:c>
      <x:c r="F2" s="8" t="str">
        <x:v>Summary는 이 탭의 수식을 참조합니다.</x:v>
      </x:c>
      <x:c r="G2" s="8" t="str">
        <x:v>Summary는 이 탭의 수식을 참조합니다.</x:v>
      </x:c>
      <x:c r="H2" s="8" t="str">
        <x:v>Summary는 이 탭의 수식을 참조합니다.</x:v>
      </x:c>
    </x:row>
    <x:row r="3"/>
    <x:row r="4" ht="15" hidden="0" customHeight="1">
      <x:c r="A4" s="14" t="str">
        <x:v>시나리오</x:v>
      </x:c>
      <x:c r="B4" s="14" t="str">
        <x:v>월 주문 수</x:v>
      </x:c>
      <x:c r="C4" s="14" t="str">
        <x:v>월 매출</x:v>
      </x:c>
      <x:c r="D4" s="14" t="str">
        <x:v>클라우드 USD/월</x:v>
      </x:c>
      <x:c r="E4" s="14" t="str">
        <x:v>클라우드 KRW/월</x:v>
      </x:c>
      <x:c r="F4" s="14" t="str">
        <x:v>연간비 월환산</x:v>
      </x:c>
      <x:c r="G4" s="14" t="str">
        <x:v>지도 API 비용</x:v>
      </x:c>
      <x:c r="H4" s="14" t="str">
        <x:v>결제 수수료</x:v>
      </x:c>
      <x:c r="I4" s="14" t="str">
        <x:v>기타 예비비</x:v>
      </x:c>
      <x:c r="J4" s="14" t="str">
        <x:v>월 총 운영비</x:v>
      </x:c>
      <x:c r="K4" s="14" t="str">
        <x:v>첫해 총 현금 유출</x:v>
      </x:c>
    </x:row>
    <x:row r="5" ht="15" hidden="0" customHeight="1">
      <x:c r="A5" s="11" t="str">
        <x:v>저비용 MVP</x:v>
      </x:c>
      <x:c r="B5" s="19" t="n">
        <x:f>'Assumptions'!C6</x:f>
        <x:v>300</x:v>
      </x:c>
      <x:c r="C5" s="19" t="n">
        <x:f>B5*'Assumptions'!C7</x:f>
        <x:v>3600000</x:v>
      </x:c>
      <x:c r="D5" s="20" t="n">
        <x:f>SUM('Assumptions'!C9:C13)</x:f>
        <x:v>6</x:v>
      </x:c>
      <x:c r="E5" s="19" t="n">
        <x:f>D5*'Assumptions'!C5</x:f>
        <x:v>8271.84</x:v>
      </x:c>
      <x:c r="F5" s="19" t="n">
        <x:f>('Assumptions'!C14*'Assumptions'!C5+'Assumptions'!C16+'Assumptions'!C18)/12</x:f>
        <x:v>22207.11333333333</x:v>
      </x:c>
      <x:c r="G5" s="19" t="n">
        <x:f>IF('Assumptions'!C28="예",0,'Assumptions'!C20*'Assumptions'!C21+'Assumptions'!C22*'Assumptions'!C23+'Assumptions'!C24*'Assumptions'!C25)</x:f>
        <x:v>0</x:v>
      </x:c>
      <x:c r="H5" s="19" t="n">
        <x:f>C5*'Assumptions'!C19*(1+'Assumptions'!C8)</x:f>
        <x:v>134640.00000000003</x:v>
      </x:c>
      <x:c r="I5" s="19" t="n">
        <x:f>'Assumptions'!C27</x:f>
        <x:v>10000</x:v>
      </x:c>
      <x:c r="J5" s="19" t="n">
        <x:f>SUM(E5:I5)</x:f>
        <x:v>175118.95333333337</x:v>
      </x:c>
      <x:c r="K5" s="19" t="n">
        <x:f>E5*12+G5*12+H5*12+I5*12+'Assumptions'!C14*'Assumptions'!C5+'Assumptions'!C15*'Assumptions'!C5+'Assumptions'!C16+'Assumptions'!C17+'Assumptions'!C18</x:f>
        <x:v>2355893.4400000004</x:v>
      </x:c>
    </x:row>
    <x:row r="6" ht="15" hidden="0" customHeight="1">
      <x:c r="A6" s="11" t="str">
        <x:v>권장 MVP</x:v>
      </x:c>
      <x:c r="B6" s="19" t="n">
        <x:f>'Assumptions'!D6</x:f>
        <x:v>1000</x:v>
      </x:c>
      <x:c r="C6" s="19" t="n">
        <x:f>B6*'Assumptions'!D7</x:f>
        <x:v>12000000</x:v>
      </x:c>
      <x:c r="D6" s="20" t="n">
        <x:f>SUM('Assumptions'!D9:D13)</x:f>
        <x:v>52</x:v>
      </x:c>
      <x:c r="E6" s="19" t="n">
        <x:f>D6*'Assumptions'!D5</x:f>
        <x:v>71689.28</x:v>
      </x:c>
      <x:c r="F6" s="19" t="n">
        <x:f>('Assumptions'!D14*'Assumptions'!D5+'Assumptions'!D16+'Assumptions'!D18)/12</x:f>
        <x:v>22207.11333333333</x:v>
      </x:c>
      <x:c r="G6" s="19" t="n">
        <x:f>IF('Assumptions'!D28="예",0,'Assumptions'!D20*'Assumptions'!D21+'Assumptions'!D22*'Assumptions'!D23+'Assumptions'!D24*'Assumptions'!D25)</x:f>
        <x:v>0</x:v>
      </x:c>
      <x:c r="H6" s="19" t="n">
        <x:f>C6*'Assumptions'!D19*(1+'Assumptions'!D8)</x:f>
        <x:v>448800.0000000001</x:v>
      </x:c>
      <x:c r="I6" s="19" t="n">
        <x:f>'Assumptions'!D27</x:f>
        <x:v>30000</x:v>
      </x:c>
      <x:c r="J6" s="19" t="n">
        <x:f>SUM(E6:I6)</x:f>
        <x:v>572696.3933333334</x:v>
      </x:c>
      <x:c r="K6" s="19" t="n">
        <x:f>E6*12+G6*12+H6*12+I6*12+'Assumptions'!D14*'Assumptions'!D5+'Assumptions'!D15*'Assumptions'!D5+'Assumptions'!D16+'Assumptions'!D17+'Assumptions'!D18</x:f>
        <x:v>7126822.7200000025</x:v>
      </x:c>
    </x:row>
    <x:row r="7" ht="15" hidden="0" customHeight="1">
      <x:c r="A7" s="11" t="str">
        <x:v>성장 단계</x:v>
      </x:c>
      <x:c r="B7" s="19" t="n">
        <x:f>'Assumptions'!E6</x:f>
        <x:v>3000</x:v>
      </x:c>
      <x:c r="C7" s="19" t="n">
        <x:f>B7*'Assumptions'!E7</x:f>
        <x:v>36000000</x:v>
      </x:c>
      <x:c r="D7" s="20" t="n">
        <x:f>SUM('Assumptions'!E9:E13)</x:f>
        <x:v>329</x:v>
      </x:c>
      <x:c r="E7" s="19" t="n">
        <x:f>D7*'Assumptions'!E5</x:f>
        <x:v>453572.56000000006</x:v>
      </x:c>
      <x:c r="F7" s="19" t="n">
        <x:f>('Assumptions'!E14*'Assumptions'!E5+'Assumptions'!E16+'Assumptions'!E18)/12</x:f>
        <x:v>22207.11333333333</x:v>
      </x:c>
      <x:c r="G7" s="19" t="n">
        <x:f>IF('Assumptions'!E28="예",0,'Assumptions'!E20*'Assumptions'!E21+'Assumptions'!E22*'Assumptions'!E23+'Assumptions'!E24*'Assumptions'!E25)</x:f>
        <x:v>47000</x:v>
      </x:c>
      <x:c r="H7" s="19" t="n">
        <x:f>C7*'Assumptions'!E19*(1+'Assumptions'!E8)</x:f>
        <x:v>1346400</x:v>
      </x:c>
      <x:c r="I7" s="19" t="n">
        <x:f>'Assumptions'!E27</x:f>
        <x:v>100000</x:v>
      </x:c>
      <x:c r="J7" s="19" t="n">
        <x:f>SUM(E7:I7)</x:f>
        <x:v>1969179.6733333333</x:v>
      </x:c>
      <x:c r="K7" s="19" t="n">
        <x:f>E7*12+G7*12+H7*12+I7*12+'Assumptions'!E14*'Assumptions'!E5+'Assumptions'!E15*'Assumptions'!E5+'Assumptions'!E16+'Assumptions'!E17+'Assumptions'!E18</x:f>
        <x:v>23884622.08</x:v>
      </x:c>
    </x:row>
    <x:row r="8"/>
    <x:row r="9"/>
    <x:row r="10" ht="15.600000381469727" hidden="0" customHeight="1">
      <x:c r="A10" s="21" t="str">
        <x:v>비용 구성 메모</x:v>
      </x:c>
    </x:row>
    <x:row r="11" ht="15" hidden="0" customHeight="1">
      <x:c r="A11" s="22" t="str">
        <x:v>항목</x:v>
      </x:c>
      <x:c r="B11" s="22" t="str">
        <x:v>메모</x:v>
      </x:c>
      <x:c r="C11" s="22"/>
      <x:c r="D11" s="22"/>
      <x:c r="E11" s="22"/>
      <x:c r="F11" s="22"/>
      <x:c r="G11" s="22"/>
      <x:c r="H11" s="22"/>
    </x:row>
    <x:row r="12" ht="15" hidden="0" customHeight="1">
      <x:c r="A12" s="11" t="str">
        <x:v>클라우드</x:v>
      </x:c>
      <x:c r="B12" s="11" t="str">
        <x:v>Spring Boot 서버, PostgreSQL, 백업, Expo/EAS, 모니터링을 월 비용으로 합산합니다.</x:v>
      </x:c>
      <x:c r="C12" s="11"/>
      <x:c r="D12" s="11"/>
      <x:c r="E12" s="11"/>
      <x:c r="F12" s="11"/>
      <x:c r="G12" s="11"/>
      <x:c r="H12" s="11"/>
    </x:row>
    <x:row r="13" ht="15" hidden="0" customHeight="1">
      <x:c r="A13" s="11" t="str">
        <x:v>결제</x:v>
      </x:c>
      <x:c r="B13" s="11" t="str">
        <x:v>월 매출 x 카드 수수료 x VAT 포함 비율로 계산합니다. 실제 우대 등급 적용 시 낮아질 수 있습니다.</x:v>
      </x:c>
      <x:c r="C13" s="11"/>
      <x:c r="D13" s="11"/>
      <x:c r="E13" s="11"/>
      <x:c r="F13" s="11"/>
      <x:c r="G13" s="11"/>
      <x:c r="H13" s="11"/>
    </x:row>
    <x:row r="14" ht="15" hidden="0" customHeight="1">
      <x:c r="A14" s="11" t="str">
        <x:v>지도</x:v>
      </x:c>
      <x:c r="B14" s="11" t="str">
        <x:v>무료 쿼터 적용 여부가 '예'이면 0원, '아니오'이면 호출 수 x 단가로 계산합니다.</x:v>
      </x:c>
      <x:c r="C14" s="11"/>
      <x:c r="D14" s="11"/>
      <x:c r="E14" s="11"/>
      <x:c r="F14" s="11"/>
      <x:c r="G14" s="11"/>
      <x:c r="H14" s="11"/>
    </x:row>
  </x:sheetData>
  <x:mergeCells>
    <x:mergeCell ref="A1:K1"/>
    <x:mergeCell ref="A2:H2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50" hidden="0" customWidth="1"/>
    <x:col min="5" max="5" width="18" hidden="0" customWidth="1"/>
    <x:col min="6" max="6" width="45" hidden="0" customWidth="1"/>
  </x:cols>
  <x:sheetData>
    <x:row r="1" ht="21.600000381469727" hidden="0" customHeight="1">
      <x:c r="A1" s="4" t="str">
        <x:v>출처 및 가격 메모</x:v>
      </x:c>
      <x:c r="B1" s="4" t="str">
        <x:v>출처 및 가격 메모</x:v>
      </x:c>
      <x:c r="C1" s="4" t="str">
        <x:v>출처 및 가격 메모</x:v>
      </x:c>
      <x:c r="D1" s="4" t="str">
        <x:v>출처 및 가격 메모</x:v>
      </x:c>
      <x:c r="E1" s="4" t="str">
        <x:v>출처 및 가격 메모</x:v>
      </x:c>
      <x:c r="F1" s="4" t="str">
        <x:v>출처 및 가격 메모</x:v>
      </x:c>
    </x:row>
    <x:row r="2" ht="15" hidden="0" customHeight="1">
      <x:c r="A2" s="8" t="str">
        <x:v>가격은 2026-08-31 확인 기준이며 실제 계약/지역/세금에 따라 달라질 수 있습니다.</x:v>
      </x:c>
      <x:c r="B2" s="8" t="str">
        <x:v>가격은 2026-08-31 확인 기준이며 실제 계약/지역/세금에 따라 달라질 수 있습니다.</x:v>
      </x:c>
      <x:c r="C2" s="8" t="str">
        <x:v>가격은 2026-08-31 확인 기준이며 실제 계약/지역/세금에 따라 달라질 수 있습니다.</x:v>
      </x:c>
      <x:c r="D2" s="8" t="str">
        <x:v>가격은 2026-08-31 확인 기준이며 실제 계약/지역/세금에 따라 달라질 수 있습니다.</x:v>
      </x:c>
      <x:c r="E2" s="8" t="str">
        <x:v>가격은 2026-08-31 확인 기준이며 실제 계약/지역/세금에 따라 달라질 수 있습니다.</x:v>
      </x:c>
      <x:c r="F2" s="8" t="str">
        <x:v>가격은 2026-08-31 확인 기준이며 실제 계약/지역/세금에 따라 달라질 수 있습니다.</x:v>
      </x:c>
      <x:c r="G2" s="8" t="str">
        <x:v>가격은 2026-08-31 확인 기준이며 실제 계약/지역/세금에 따라 달라질 수 있습니다.</x:v>
      </x:c>
      <x:c r="H2" s="8" t="str">
        <x:v>가격은 2026-08-31 확인 기준이며 실제 계약/지역/세금에 따라 달라질 수 있습니다.</x:v>
      </x:c>
    </x:row>
    <x:row r="3"/>
    <x:row r="4" ht="15" hidden="0" customHeight="1">
      <x:c r="A4" s="14" t="str">
        <x:v>항목</x:v>
      </x:c>
      <x:c r="B4" s="14" t="str">
        <x:v>입력값</x:v>
      </x:c>
      <x:c r="C4" s="14" t="str">
        <x:v>확인일</x:v>
      </x:c>
      <x:c r="D4" s="14" t="str">
        <x:v>URL</x:v>
      </x:c>
      <x:c r="E4" s="14" t="str">
        <x:v>적용 위치</x:v>
      </x:c>
      <x:c r="F4" s="14" t="str">
        <x:v>메모</x:v>
      </x:c>
    </x:row>
    <x:row r="5" ht="15" hidden="0" customHeight="1">
      <x:c r="A5" s="11" t="str">
        <x:v>AWS Lightsail</x:v>
      </x:c>
      <x:c r="B5" s="11" t="str">
        <x:v>$5~ 컨테이너 $10~</x:v>
      </x:c>
      <x:c r="C5" s="11" t="str">
        <x:v>2026-08-31</x:v>
      </x:c>
      <x:c r="D5" s="11" t="str">
        <x:v>https://aws.amazon.com/lightsail/pricing/</x:v>
      </x:c>
      <x:c r="E5" s="11" t="str">
        <x:v>서버/DB</x:v>
      </x:c>
      <x:c r="F5" s="11" t="str">
        <x:v>VPS, 컨테이너, managed DB 시작가 및 전송량 기준</x:v>
      </x:c>
    </x:row>
    <x:row r="6" ht="15" hidden="0" customHeight="1">
      <x:c r="A6" s="11" t="str">
        <x:v>Apple Developer Program</x:v>
      </x:c>
      <x:c r="B6" s="11" t="str">
        <x:v>$99/년</x:v>
      </x:c>
      <x:c r="C6" s="11" t="str">
        <x:v>2026-08-31</x:v>
      </x:c>
      <x:c r="D6" s="11" t="str">
        <x:v>https://developer.apple.com/programs/</x:v>
      </x:c>
      <x:c r="E6" s="11" t="str">
        <x:v>앱 배포</x:v>
      </x:c>
      <x:c r="F6" s="11" t="str">
        <x:v>iOS App Store 배포 계정</x:v>
      </x:c>
    </x:row>
    <x:row r="7" ht="26.399999618530273" hidden="0" customHeight="1">
      <x:c r="A7" s="11" t="str">
        <x:v>Google Play Console</x:v>
      </x:c>
      <x:c r="B7" s="11" t="str">
        <x:v>$25 1회</x:v>
      </x:c>
      <x:c r="C7" s="11" t="str">
        <x:v>2026-08-31</x:v>
      </x:c>
      <x:c r="D7" s="11" t="str">
        <x:v>https://support.google.com/googleplay/android-developer/answer/6112435</x:v>
      </x:c>
      <x:c r="E7" s="11" t="str">
        <x:v>앱 배포</x:v>
      </x:c>
      <x:c r="F7" s="11" t="str">
        <x:v>Android 앱 배포 계정</x:v>
      </x:c>
    </x:row>
    <x:row r="8" ht="15" hidden="0" customHeight="1">
      <x:c r="A8" s="11" t="str">
        <x:v>Expo EAS</x:v>
      </x:c>
      <x:c r="B8" s="11" t="str">
        <x:v>Free / $19 / $199</x:v>
      </x:c>
      <x:c r="C8" s="11" t="str">
        <x:v>2026-08-31</x:v>
      </x:c>
      <x:c r="D8" s="11" t="str">
        <x:v>https://expo.dev/pricing</x:v>
      </x:c>
      <x:c r="E8" s="11" t="str">
        <x:v>앱 빌드</x:v>
      </x:c>
      <x:c r="F8" s="11" t="str">
        <x:v>React Native Expo 빌드/업데이트</x:v>
      </x:c>
    </x:row>
    <x:row r="9" ht="15" hidden="0" customHeight="1">
      <x:c r="A9" s="11" t="str">
        <x:v>Firebase FCM</x:v>
      </x:c>
      <x:c r="B9" s="11" t="str">
        <x:v>No-cost</x:v>
      </x:c>
      <x:c r="C9" s="11" t="str">
        <x:v>2026-08-31</x:v>
      </x:c>
      <x:c r="D9" s="11" t="str">
        <x:v>https://firebase.google.com/pricing</x:v>
      </x:c>
      <x:c r="E9" s="11" t="str">
        <x:v>푸시 알림</x:v>
      </x:c>
      <x:c r="F9" s="11" t="str">
        <x:v>Cloud Messaging 무료 항목</x:v>
      </x:c>
    </x:row>
    <x:row r="10" ht="15" hidden="0" customHeight="1">
      <x:c r="A10" s="11" t="str">
        <x:v>Kakao Map API</x:v>
      </x:c>
      <x:c r="B10" s="11" t="str">
        <x:v>0.1원~10원/건</x:v>
      </x:c>
      <x:c r="C10" s="11" t="str">
        <x:v>2026-08-31</x:v>
      </x:c>
      <x:c r="D10" s="11" t="str">
        <x:v>https://developers.kakao.com/docs/ko/getting-started/quota</x:v>
      </x:c>
      <x:c r="E10" s="11" t="str">
        <x:v>지도/경로</x:v>
      </x:c>
      <x:c r="F10" s="11" t="str">
        <x:v>무료 쿼터 초과 또는 유료 API 적용 시</x:v>
      </x:c>
    </x:row>
    <x:row r="11" ht="26.399999618530273" hidden="0" customHeight="1">
      <x:c r="A11" s="11" t="str">
        <x:v>Toss Payments PG</x:v>
      </x:c>
      <x:c r="B11" s="11" t="str">
        <x:v>가입 220,000원 / 연 110,000원 / 카드 3.4%</x:v>
      </x:c>
      <x:c r="C11" s="11" t="str">
        <x:v>2026-08-31</x:v>
      </x:c>
      <x:c r="D11" s="11" t="str">
        <x:v>https://www.tosspayments.com/about/fee</x:v>
      </x:c>
      <x:c r="E11" s="11" t="str">
        <x:v>결제</x:v>
      </x:c>
      <x:c r="F11" s="11" t="str">
        <x:v>VAT 별도, 우대 등급/계약 방식에 따라 변동</x:v>
      </x:c>
    </x:row>
    <x:row r="12" ht="15" hidden="0" customHeight="1">
      <x:c r="A12" s="11" t="str">
        <x:v>USD/KRW</x:v>
      </x:c>
      <x:c r="B12" s="11" t="str">
        <x:v>1,378.64</x:v>
      </x:c>
      <x:c r="C12" s="11" t="str">
        <x:v>2026-08-31</x:v>
      </x:c>
      <x:c r="D12" s="11" t="str">
        <x:v>https://www.investing.com/currencies/usd-krw-historical-data</x:v>
      </x:c>
      <x:c r="E12" s="11" t="str">
        <x:v>환율</x:v>
      </x:c>
      <x:c r="F12" s="11" t="str">
        <x:v>2026-08-28 종가 근처 실시간 표시값 기준</x:v>
      </x:c>
    </x:row>
    <x:row r="13" ht="26.399999618530273" hidden="0" customHeight="1">
      <x:c r="A13" s="11" t="str">
        <x:v>사업 가정</x:v>
      </x:c>
      <x:c r="B13" s="11" t="str">
        <x:v>월 주문 300/1000/3000, 평균 12,000원</x:v>
      </x:c>
      <x:c r="C13" s="11" t="str">
        <x:v>2026-08-31</x:v>
      </x:c>
      <x:c r="D13" s="11" t="str">
        <x:v>N/A</x:v>
      </x:c>
      <x:c r="E13" s="11" t="str">
        <x:v>매출/수수료</x:v>
      </x:c>
      <x:c r="F13" s="11" t="str">
        <x:v>초기 추정치. 실제 메뉴 가격과 주문량으로 수정 필요</x:v>
      </x:c>
    </x:row>
  </x:sheetData>
  <x:mergeCells>
    <x:mergeCell ref="A1:F1"/>
    <x:mergeCell ref="A2:H2"/>
  </x:mergeCells>
  <x:pageMargins left="0.7" right="0.7" top="0.75" bottom="0.75" header="0.3" footer="0.3"/>
</x:worksheet>
</file>